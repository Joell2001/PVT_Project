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uario\PycharmProjects\Oil-Apps\PVT_Projectpro\PVT\Controller\"/>
    </mc:Choice>
  </mc:AlternateContent>
  <xr:revisionPtr revIDLastSave="0" documentId="13_ncr:1_{C686149C-A22E-49C1-95BA-54E28DA90847}" xr6:coauthVersionLast="47" xr6:coauthVersionMax="47" xr10:uidLastSave="{00000000-0000-0000-0000-000000000000}"/>
  <bookViews>
    <workbookView xWindow="0" yWindow="255" windowWidth="21600" windowHeight="11385" tabRatio="500" xr2:uid="{00000000-000D-0000-FFFF-FFFF00000000}"/>
  </bookViews>
  <sheets>
    <sheet name="SUMMARY" sheetId="1" r:id="rId1"/>
    <sheet name="_xlwings.conf" sheetId="2" r:id="rId2"/>
  </sheets>
  <definedNames>
    <definedName name="Bo_Marhouns">SUMMARY!$H$12:$H$16</definedName>
    <definedName name="Bo_Standing">SUMMARY!$G$12:$G$16</definedName>
    <definedName name="Co_Standing">SUMMARY!$I$12:$I$16</definedName>
    <definedName name="Co_Vasquez">SUMMARY!$J$12:$J$16</definedName>
    <definedName name="det_presiones">SUMMARY!$B$2:$F$2</definedName>
    <definedName name="det_rs">SUMMARY!$B$7:$F$7</definedName>
    <definedName name="det_t">SUMMARY!$B$3:$F$3</definedName>
    <definedName name="det_valuespb">SUMMARY!$C$12:$C$16</definedName>
    <definedName name="Pb_Marhouns">SUMMARY!$D$12:$D$16</definedName>
    <definedName name="Pb_Standing">SUMMARY!$C$12:$C$16</definedName>
    <definedName name="Po_CorrLab">SUMMARY!$F$12:$F$16</definedName>
    <definedName name="Po_Standing">SUMMARY!$E$12:$E$16</definedName>
    <definedName name="Rs_Marhouns">SUMMARY!$B$12:$B$16</definedName>
    <definedName name="Rs_Standing">SUMMARY!$A$12:$A$16</definedName>
    <definedName name="Uo_Beals">SUMMARY!$K$12:$K$16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7" i="1" l="1"/>
  <c r="E7" i="1"/>
  <c r="D7" i="1"/>
  <c r="C7" i="1"/>
  <c r="B7" i="1"/>
  <c r="C6" i="1"/>
  <c r="D6" i="1"/>
  <c r="E6" i="1"/>
  <c r="F6" i="1"/>
  <c r="B6" i="1"/>
</calcChain>
</file>

<file path=xl/sharedStrings.xml><?xml version="1.0" encoding="utf-8"?>
<sst xmlns="http://schemas.openxmlformats.org/spreadsheetml/2006/main" count="40" uniqueCount="32">
  <si>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</si>
  <si>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</si>
  <si>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</si>
  <si>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</si>
  <si>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</si>
  <si>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</si>
  <si>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</si>
  <si>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</si>
  <si>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</si>
  <si>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</si>
  <si>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</si>
  <si>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</si>
  <si>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</si>
  <si>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</si>
  <si>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</si>
  <si>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Presiones</t>
  </si>
  <si>
    <t>API</t>
  </si>
  <si>
    <t>Yg</t>
  </si>
  <si>
    <t>Rs</t>
  </si>
  <si>
    <t>Pb</t>
  </si>
  <si>
    <t>Po</t>
  </si>
  <si>
    <t>Bo</t>
  </si>
  <si>
    <t>Co</t>
  </si>
  <si>
    <t>Uo</t>
  </si>
  <si>
    <t>Standing</t>
  </si>
  <si>
    <t>Marhouns</t>
  </si>
  <si>
    <t>Beals</t>
  </si>
  <si>
    <t>Vazques-Beggs</t>
  </si>
  <si>
    <t>Corrlab</t>
  </si>
  <si>
    <t>variables</t>
  </si>
  <si>
    <t>values</t>
  </si>
  <si>
    <t>T(°C)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</si>
</sst>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/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6"/>
  <sheetViews>
    <sheetView tabSelected="1" zoomScale="70" zoomScaleNormal="70" workbookViewId="0">
      <selection activeCell="A13" sqref="A13"/>
    </sheetView>
  </sheetViews>
  <sheetFormatPr baseColWidth="10" defaultColWidth="11" defaultRowHeight="15.75" x14ac:dyDescent="0.25"/>
  <cols>
    <col min="8" max="8" width="13.625" customWidth="1"/>
    <col min="10" max="10" width="15.125" customWidth="1"/>
  </cols>
  <sheetData>
    <row r="1" spans="1:12" x14ac:dyDescent="0.25">
      <c r="A1" s="6" t="s">
        <v>29</v>
      </c>
      <c r="B1" s="9" t="s">
        <v>30</v>
      </c>
      <c r="C1" s="9"/>
      <c r="D1" s="9"/>
      <c r="E1" s="9"/>
      <c r="F1" s="9"/>
    </row>
    <row r="2" spans="1:12" x14ac:dyDescent="0.25">
      <c r="A2" s="8" t="s">
        <v>15</v>
      </c>
      <c r="B2" s="4">
        <v>2500</v>
      </c>
      <c r="C2" s="4">
        <v>2400</v>
      </c>
      <c r="D2" s="4">
        <v>1500</v>
      </c>
      <c r="E2" s="4">
        <v>1300</v>
      </c>
      <c r="F2" s="4">
        <v>800</v>
      </c>
    </row>
    <row r="3" spans="1:12" x14ac:dyDescent="0.25">
      <c r="A3" s="8" t="s">
        <v>31</v>
      </c>
      <c r="B3" s="5">
        <v>250</v>
      </c>
      <c r="C3" s="5">
        <v>250</v>
      </c>
      <c r="D3" s="5">
        <v>250</v>
      </c>
      <c r="E3" s="5">
        <v>250</v>
      </c>
      <c r="F3" s="5">
        <v>250</v>
      </c>
    </row>
    <row r="4" spans="1:12" x14ac:dyDescent="0.25">
      <c r="A4" s="8" t="s">
        <v>16</v>
      </c>
      <c r="B4" s="5">
        <v>26</v>
      </c>
      <c r="C4" s="5">
        <v>26</v>
      </c>
      <c r="D4" s="5">
        <v>26</v>
      </c>
      <c r="E4" s="5">
        <v>26</v>
      </c>
      <c r="F4" s="5">
        <v>26</v>
      </c>
    </row>
    <row r="5" spans="1:12" x14ac:dyDescent="0.25">
      <c r="A5" s="8" t="s">
        <v>17</v>
      </c>
      <c r="B5" s="5">
        <v>0.71</v>
      </c>
      <c r="C5" s="5">
        <v>0.71</v>
      </c>
      <c r="D5" s="5">
        <v>0.71</v>
      </c>
      <c r="E5" s="5">
        <v>0.71</v>
      </c>
      <c r="F5" s="5">
        <v>0.71</v>
      </c>
    </row>
    <row r="6" spans="1:12" x14ac:dyDescent="0.25">
      <c r="A6" s="8" t="s">
        <v>19</v>
      </c>
      <c r="B6" s="5">
        <f>$I$5</f>
        <v>0</v>
      </c>
      <c r="C6" s="5">
        <f t="shared" ref="C6:F6" si="0">$I$5</f>
        <v>0</v>
      </c>
      <c r="D6" s="5">
        <f t="shared" si="0"/>
        <v>0</v>
      </c>
      <c r="E6" s="5">
        <f t="shared" si="0"/>
        <v>0</v>
      </c>
      <c r="F6" s="5">
        <f t="shared" si="0"/>
        <v>0</v>
      </c>
    </row>
    <row r="7" spans="1:12" x14ac:dyDescent="0.25">
      <c r="A7" s="8" t="s">
        <v>18</v>
      </c>
      <c r="B7" s="5">
        <f>$A$12</f>
        <v>129.12159861950153</v>
      </c>
      <c r="C7" s="5">
        <f>$A$13</f>
        <v>124.00884387111699</v>
      </c>
      <c r="D7" s="5">
        <f>$A$14</f>
        <v>77.994051135656264</v>
      </c>
      <c r="E7" s="5">
        <f>$A$15</f>
        <v>67.768541638887214</v>
      </c>
      <c r="F7" s="5">
        <f>$A$16</f>
        <v>42.204767896964576</v>
      </c>
    </row>
    <row r="9" spans="1:12" x14ac:dyDescent="0.25">
      <c r="A9" s="14" t="s">
        <v>18</v>
      </c>
      <c r="B9" s="15"/>
      <c r="C9" s="9" t="s">
        <v>19</v>
      </c>
      <c r="D9" s="9"/>
      <c r="E9" s="9" t="s">
        <v>20</v>
      </c>
      <c r="F9" s="9"/>
      <c r="G9" s="9" t="s">
        <v>21</v>
      </c>
      <c r="H9" s="9"/>
      <c r="I9" s="9" t="s">
        <v>22</v>
      </c>
      <c r="J9" s="9"/>
      <c r="K9" s="9" t="s">
        <v>23</v>
      </c>
      <c r="L9" s="9"/>
    </row>
    <row r="10" spans="1:12" x14ac:dyDescent="0.25">
      <c r="A10" s="16"/>
      <c r="B10" s="17"/>
      <c r="C10" s="9"/>
      <c r="D10" s="9"/>
      <c r="E10" s="9"/>
      <c r="F10" s="9"/>
      <c r="G10" s="9"/>
      <c r="H10" s="9"/>
      <c r="I10" s="9"/>
      <c r="J10" s="9"/>
      <c r="K10" s="9"/>
      <c r="L10" s="9"/>
    </row>
    <row r="11" spans="1:12" x14ac:dyDescent="0.25">
      <c r="A11" s="7" t="s">
        <v>24</v>
      </c>
      <c r="B11" s="7" t="s">
        <v>25</v>
      </c>
      <c r="C11" s="7" t="s">
        <v>24</v>
      </c>
      <c r="D11" s="7" t="s">
        <v>25</v>
      </c>
      <c r="E11" s="7" t="s">
        <v>24</v>
      </c>
      <c r="F11" s="7" t="s">
        <v>28</v>
      </c>
      <c r="G11" s="7" t="s">
        <v>24</v>
      </c>
      <c r="H11" s="7" t="s">
        <v>25</v>
      </c>
      <c r="I11" s="7" t="s">
        <v>24</v>
      </c>
      <c r="J11" s="7" t="s">
        <v>27</v>
      </c>
      <c r="K11" s="10" t="s">
        <v>26</v>
      </c>
      <c r="L11" s="11"/>
    </row>
    <row r="12" spans="1:12" x14ac:dyDescent="0.25">
      <c r="A12" s="3">
        <v>129.12159861950153</v>
      </c>
      <c r="B12" s="3">
        <v>4162901516031.5342</v>
      </c>
      <c r="C12" s="3">
        <v>1066.3525584151121</v>
      </c>
      <c r="D12" s="3">
        <v>1431.6589009280849</v>
      </c>
      <c r="E12" s="3">
        <v>49.689979237668766</v>
      </c>
      <c r="F12" s="3">
        <v>49.915107680984107</v>
      </c>
      <c r="G12" s="3">
        <v>1.148104315500746</v>
      </c>
      <c r="H12" s="3">
        <v>0.78587548728711631</v>
      </c>
      <c r="I12" s="3">
        <v>5425.1703831638424</v>
      </c>
      <c r="J12" s="3">
        <v>1.2010671972390029E-5</v>
      </c>
      <c r="K12" s="12">
        <v>20.85105456232866</v>
      </c>
      <c r="L12" s="13"/>
    </row>
    <row r="13" spans="1:12" x14ac:dyDescent="0.25">
      <c r="A13" s="3">
        <v>124.00884387111699</v>
      </c>
      <c r="B13" s="3">
        <v>3931909559773.6704</v>
      </c>
      <c r="C13" s="3">
        <v>1030.3467604059083</v>
      </c>
      <c r="D13" s="3">
        <v>1390.8892816279658</v>
      </c>
      <c r="E13" s="3">
        <v>49.744823551132122</v>
      </c>
      <c r="F13" s="3">
        <v>49.967671969971335</v>
      </c>
      <c r="G13" s="3">
        <v>1.1459085348579376</v>
      </c>
      <c r="H13" s="3">
        <v>0.78358829476518332</v>
      </c>
      <c r="I13" s="3">
        <v>4993.7118494411707</v>
      </c>
      <c r="J13" s="3">
        <v>1.2404600913981606E-5</v>
      </c>
      <c r="K13" s="12">
        <v>20.85105456232866</v>
      </c>
      <c r="L13" s="13"/>
    </row>
    <row r="14" spans="1:12" x14ac:dyDescent="0.25">
      <c r="A14" s="3">
        <v>77.994051135656264</v>
      </c>
      <c r="B14" s="3">
        <v>2037764402196.8643</v>
      </c>
      <c r="C14" s="3">
        <v>693.03855201214662</v>
      </c>
      <c r="D14" s="3">
        <v>998.34662205843892</v>
      </c>
      <c r="E14" s="3">
        <v>50.239585687841448</v>
      </c>
      <c r="F14" s="3">
        <v>50.440240028115085</v>
      </c>
      <c r="G14" s="3">
        <v>1.1263638497170207</v>
      </c>
      <c r="H14" s="3">
        <v>0.76210485963380681</v>
      </c>
      <c r="I14" s="3">
        <v>1897.8501679121966</v>
      </c>
      <c r="J14" s="3">
        <v>1.8313535037855209E-5</v>
      </c>
      <c r="K14" s="12">
        <v>20.85105456232866</v>
      </c>
      <c r="L14" s="13"/>
    </row>
    <row r="15" spans="1:12" x14ac:dyDescent="0.25">
      <c r="A15" s="3">
        <v>67.768541638887214</v>
      </c>
      <c r="B15" s="3">
        <v>1668183620119.5244</v>
      </c>
      <c r="C15" s="3">
        <v>613.93131109897888</v>
      </c>
      <c r="D15" s="3">
        <v>902.89554606146612</v>
      </c>
      <c r="E15" s="3">
        <v>50.349714038575669</v>
      </c>
      <c r="F15" s="3">
        <v>50.545009098630423</v>
      </c>
      <c r="G15" s="3">
        <v>1.1220756792890605</v>
      </c>
      <c r="H15" s="3">
        <v>0.75703250737019567</v>
      </c>
      <c r="I15" s="3">
        <v>1405.4302011671625</v>
      </c>
      <c r="J15" s="3">
        <v>2.0737713139957204E-5</v>
      </c>
      <c r="K15" s="12">
        <v>20.85105456232866</v>
      </c>
      <c r="L15" s="13"/>
    </row>
    <row r="16" spans="1:12" x14ac:dyDescent="0.25">
      <c r="A16" s="3">
        <v>42.204767896964576</v>
      </c>
      <c r="B16" s="3">
        <v>846015017780.82312</v>
      </c>
      <c r="C16" s="3">
        <v>406.11560844825812</v>
      </c>
      <c r="D16" s="3">
        <v>643.53031493238279</v>
      </c>
      <c r="E16" s="3">
        <v>50.625076817294719</v>
      </c>
      <c r="F16" s="3">
        <v>50.806253719421321</v>
      </c>
      <c r="G16" s="3">
        <v>1.1114474594331227</v>
      </c>
      <c r="H16" s="3">
        <v>0.74356698000910448</v>
      </c>
      <c r="I16" s="3">
        <v>493.19092582696993</v>
      </c>
      <c r="J16" s="3">
        <v>3.2101047993560287E-5</v>
      </c>
      <c r="K16" s="12">
        <v>20.85105456232866</v>
      </c>
      <c r="L16" s="13"/>
    </row>
  </sheetData>
  <mergeCells count="13">
    <mergeCell ref="K14:L14"/>
    <mergeCell ref="K15:L15"/>
    <mergeCell ref="K16:L16"/>
    <mergeCell ref="A9:B10"/>
    <mergeCell ref="C9:D10"/>
    <mergeCell ref="E9:F10"/>
    <mergeCell ref="G9:H10"/>
    <mergeCell ref="I9:J10"/>
    <mergeCell ref="K9:L10"/>
    <mergeCell ref="B1:F1"/>
    <mergeCell ref="K11:L11"/>
    <mergeCell ref="K12:L12"/>
    <mergeCell ref="K13:L13"/>
  </mergeCell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15</vt:i4>
      </vt:variant>
    </vt:vector>
  </HeadingPairs>
  <TitlesOfParts>
    <vt:vector size="17" baseType="lpstr">
      <vt:lpstr>SUMMARY</vt:lpstr>
      <vt:lpstr>_xlwings.conf</vt:lpstr>
      <vt:lpstr>Bo_Marhouns</vt:lpstr>
      <vt:lpstr>Bo_Standing</vt:lpstr>
      <vt:lpstr>Co_Standing</vt:lpstr>
      <vt:lpstr>Co_Vasquez</vt:lpstr>
      <vt:lpstr>det_presiones</vt:lpstr>
      <vt:lpstr>det_rs</vt:lpstr>
      <vt:lpstr>det_t</vt:lpstr>
      <vt:lpstr>det_valuespb</vt:lpstr>
      <vt:lpstr>Pb_Marhouns</vt:lpstr>
      <vt:lpstr>Pb_Standing</vt:lpstr>
      <vt:lpstr>Po_CorrLab</vt:lpstr>
      <vt:lpstr>Po_Standing</vt:lpstr>
      <vt:lpstr>Rs_Marhouns</vt:lpstr>
      <vt:lpstr>Rs_Standing</vt:lpstr>
      <vt:lpstr>Uo_Beals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Jean Pierre Mendia Cadena</cp:lastModifiedBy>
  <dcterms:created xsi:type="dcterms:W3CDTF">2015-01-25T11:31:25Z</dcterms:created>
  <dcterms:modified xsi:type="dcterms:W3CDTF">2024-11-16T02:24:33Z</dcterms:modified>
</cp:coreProperties>
</file>